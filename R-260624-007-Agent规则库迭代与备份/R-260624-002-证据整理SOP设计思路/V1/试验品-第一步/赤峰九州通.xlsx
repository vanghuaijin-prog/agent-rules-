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赤峰九州通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<sst xmlns="http://schemas.openxmlformats.org/spreadsheetml/2006/main" count="45" uniqueCount="25">
  <si>
    <t>内蒙古九州通医药销售明细表</t>
  </si>
  <si>
    <t>品名</t>
  </si>
  <si>
    <t>规格</t>
  </si>
  <si>
    <t>单位</t>
  </si>
  <si>
    <t>数量</t>
  </si>
  <si>
    <t>单价</t>
  </si>
  <si>
    <t>金额</t>
  </si>
  <si>
    <t>退货数量</t>
  </si>
  <si>
    <t>正常价格销售数量</t>
  </si>
  <si>
    <t>销售价格</t>
  </si>
  <si>
    <t>销售金额</t>
  </si>
  <si>
    <t>冲价后销售数量</t>
  </si>
  <si>
    <t>冲价后价格</t>
  </si>
  <si>
    <t>冲价后销售金额</t>
  </si>
  <si>
    <t>通窍鼻炎片</t>
  </si>
  <si>
    <t>24片*300盒</t>
  </si>
  <si>
    <t>盒</t>
  </si>
  <si>
    <t>银杏叶片</t>
  </si>
  <si>
    <t>48粒*240盒</t>
  </si>
  <si>
    <t>血塞通分散片</t>
  </si>
  <si>
    <t>苯磺酸氨氯地平片</t>
  </si>
  <si>
    <t>5mg*10s*2板</t>
  </si>
  <si>
    <t>强力天麻杜仲胶囊</t>
  </si>
  <si>
    <t>0.2g*10s*3板</t>
  </si>
  <si>
    <t>合计金额：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</si>
</sst>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tabSelected="1" workbookViewId="0">
      <selection activeCell="A12" sqref="A12:M12"/>
    </sheetView>
  </sheetViews>
  <sheetFormatPr defaultColWidth="9" defaultRowHeight="13.5"/>
  <cols>
    <col min="1" max="1" width="19.125" customWidth="1"/>
    <col min="2" max="2" width="19.25" customWidth="1"/>
  </cols>
  <sheetData>
    <row r="1" ht="62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59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ht="20" customHeight="1" spans="1:15">
      <c r="A3" s="4" t="s">
        <v>14</v>
      </c>
      <c r="B3" s="5" t="s">
        <v>15</v>
      </c>
      <c r="C3" s="5" t="s">
        <v>16</v>
      </c>
      <c r="D3" s="6">
        <v>1500</v>
      </c>
      <c r="E3" s="6">
        <v>5.8</v>
      </c>
      <c r="F3" s="6">
        <v>8700</v>
      </c>
      <c r="G3" s="6">
        <v>1301</v>
      </c>
      <c r="H3" s="6">
        <v>199</v>
      </c>
      <c r="I3" s="6">
        <v>5.8</v>
      </c>
      <c r="J3" s="6">
        <v>1154.2</v>
      </c>
      <c r="K3" s="6"/>
      <c r="L3" s="6">
        <v>2.4</v>
      </c>
      <c r="M3" s="6">
        <v>0</v>
      </c>
      <c r="N3">
        <f>G3+H3+K3</f>
        <v>1500</v>
      </c>
      <c r="O3">
        <f>D3-N3</f>
        <v>0</v>
      </c>
    </row>
    <row r="4" ht="20" customHeight="1" spans="1:15">
      <c r="A4" s="4" t="s">
        <v>17</v>
      </c>
      <c r="B4" s="5" t="s">
        <v>18</v>
      </c>
      <c r="C4" s="5" t="s">
        <v>16</v>
      </c>
      <c r="D4" s="6">
        <v>1200</v>
      </c>
      <c r="E4" s="6">
        <v>11</v>
      </c>
      <c r="F4" s="6">
        <v>13200</v>
      </c>
      <c r="G4" s="6">
        <v>1025</v>
      </c>
      <c r="H4" s="6">
        <v>175</v>
      </c>
      <c r="I4" s="6">
        <v>11</v>
      </c>
      <c r="J4" s="6">
        <v>1925</v>
      </c>
      <c r="K4" s="6"/>
      <c r="L4" s="6">
        <v>6</v>
      </c>
      <c r="M4" s="6">
        <v>0</v>
      </c>
      <c r="N4">
        <f t="shared" ref="N4:N13" si="0">G4+H4+K4</f>
        <v>1200</v>
      </c>
      <c r="O4">
        <f t="shared" ref="O4:O13" si="1">D4-N4</f>
        <v>0</v>
      </c>
    </row>
    <row r="5" ht="20" customHeight="1" spans="1:15">
      <c r="A5" s="4" t="s">
        <v>19</v>
      </c>
      <c r="B5" s="5" t="s">
        <v>15</v>
      </c>
      <c r="C5" s="5" t="s">
        <v>16</v>
      </c>
      <c r="D5" s="6">
        <v>1400</v>
      </c>
      <c r="E5" s="6">
        <v>11</v>
      </c>
      <c r="F5" s="6">
        <v>15400</v>
      </c>
      <c r="G5" s="6">
        <v>1330</v>
      </c>
      <c r="H5" s="6">
        <v>70</v>
      </c>
      <c r="I5" s="6">
        <v>11</v>
      </c>
      <c r="J5" s="6">
        <v>770</v>
      </c>
      <c r="K5" s="6"/>
      <c r="L5" s="6">
        <v>6.8</v>
      </c>
      <c r="M5" s="8">
        <v>0</v>
      </c>
      <c r="N5">
        <f t="shared" si="0"/>
        <v>1400</v>
      </c>
      <c r="O5">
        <f t="shared" si="1"/>
        <v>0</v>
      </c>
    </row>
    <row r="6" ht="20" customHeight="1" spans="1:15">
      <c r="A6" s="4" t="s">
        <v>20</v>
      </c>
      <c r="B6" s="5" t="s">
        <v>21</v>
      </c>
      <c r="C6" s="5" t="s">
        <v>16</v>
      </c>
      <c r="D6" s="6">
        <v>1500</v>
      </c>
      <c r="E6" s="6">
        <v>7.8</v>
      </c>
      <c r="F6" s="6">
        <v>11700</v>
      </c>
      <c r="G6" s="6">
        <v>1500</v>
      </c>
      <c r="H6" s="6">
        <v>0</v>
      </c>
      <c r="I6" s="6">
        <v>7.8</v>
      </c>
      <c r="J6" s="6">
        <v>0</v>
      </c>
      <c r="K6" s="6"/>
      <c r="L6" s="6">
        <v>3.2</v>
      </c>
      <c r="M6" s="6">
        <v>0</v>
      </c>
      <c r="N6">
        <f t="shared" si="0"/>
        <v>1500</v>
      </c>
      <c r="O6">
        <f t="shared" si="1"/>
        <v>0</v>
      </c>
    </row>
    <row r="7" ht="20" customHeight="1" spans="1:15">
      <c r="A7" s="4" t="s">
        <v>22</v>
      </c>
      <c r="B7" s="5" t="s">
        <v>23</v>
      </c>
      <c r="C7" s="5" t="s">
        <v>16</v>
      </c>
      <c r="D7" s="6">
        <v>1500</v>
      </c>
      <c r="E7" s="6">
        <v>8.4</v>
      </c>
      <c r="F7" s="6">
        <v>12600</v>
      </c>
      <c r="G7" s="6">
        <v>1465</v>
      </c>
      <c r="H7" s="6">
        <v>35</v>
      </c>
      <c r="I7" s="6">
        <v>8.4</v>
      </c>
      <c r="J7" s="6">
        <v>294</v>
      </c>
      <c r="K7" s="6"/>
      <c r="L7" s="6">
        <v>5</v>
      </c>
      <c r="M7" s="6">
        <v>0</v>
      </c>
      <c r="N7">
        <f t="shared" si="0"/>
        <v>1500</v>
      </c>
      <c r="O7">
        <f t="shared" si="1"/>
        <v>0</v>
      </c>
    </row>
    <row r="8" ht="20" customHeight="1" spans="1:15">
      <c r="A8" s="7" t="s">
        <v>14</v>
      </c>
      <c r="B8" s="8" t="s">
        <v>15</v>
      </c>
      <c r="C8" s="8" t="s">
        <v>16</v>
      </c>
      <c r="D8" s="8">
        <v>300</v>
      </c>
      <c r="E8" s="8">
        <v>0.01</v>
      </c>
      <c r="F8" s="8">
        <v>3</v>
      </c>
      <c r="G8" s="8">
        <v>262</v>
      </c>
      <c r="H8" s="8">
        <v>38</v>
      </c>
      <c r="I8" s="8">
        <v>0.01</v>
      </c>
      <c r="J8" s="8">
        <v>0.38</v>
      </c>
      <c r="K8" s="8"/>
      <c r="L8" s="8"/>
      <c r="M8" s="8">
        <v>0</v>
      </c>
      <c r="N8">
        <f t="shared" si="0"/>
        <v>300</v>
      </c>
      <c r="O8">
        <f t="shared" si="1"/>
        <v>0</v>
      </c>
    </row>
    <row r="9" ht="20" customHeight="1" spans="1:15">
      <c r="A9" s="4" t="s">
        <v>17</v>
      </c>
      <c r="B9" s="5" t="s">
        <v>18</v>
      </c>
      <c r="C9" s="5" t="s">
        <v>16</v>
      </c>
      <c r="D9" s="6">
        <v>240</v>
      </c>
      <c r="E9" s="6">
        <v>0.01</v>
      </c>
      <c r="F9" s="6">
        <v>2.4</v>
      </c>
      <c r="G9" s="6">
        <v>206</v>
      </c>
      <c r="H9" s="6">
        <v>34</v>
      </c>
      <c r="I9" s="6">
        <v>0.01</v>
      </c>
      <c r="J9" s="6">
        <v>0.34</v>
      </c>
      <c r="K9" s="6"/>
      <c r="L9" s="6"/>
      <c r="M9" s="6">
        <v>0</v>
      </c>
      <c r="N9">
        <f t="shared" si="0"/>
        <v>240</v>
      </c>
      <c r="O9">
        <f t="shared" si="1"/>
        <v>0</v>
      </c>
    </row>
    <row r="10" ht="20" customHeight="1" spans="1:15">
      <c r="A10" s="4" t="s">
        <v>19</v>
      </c>
      <c r="B10" s="5" t="s">
        <v>15</v>
      </c>
      <c r="C10" s="5" t="s">
        <v>16</v>
      </c>
      <c r="D10" s="6">
        <v>280</v>
      </c>
      <c r="E10" s="6">
        <v>0.01</v>
      </c>
      <c r="F10" s="6">
        <v>2.8</v>
      </c>
      <c r="G10" s="6">
        <v>268</v>
      </c>
      <c r="H10" s="6">
        <v>12</v>
      </c>
      <c r="I10" s="6">
        <v>0.01</v>
      </c>
      <c r="J10" s="6">
        <v>0.12</v>
      </c>
      <c r="K10" s="6"/>
      <c r="L10" s="6"/>
      <c r="M10" s="6">
        <v>0</v>
      </c>
      <c r="N10">
        <f t="shared" si="0"/>
        <v>280</v>
      </c>
      <c r="O10">
        <f t="shared" si="1"/>
        <v>0</v>
      </c>
    </row>
    <row r="11" ht="20" customHeight="1" spans="1:15">
      <c r="A11" s="7" t="s">
        <v>20</v>
      </c>
      <c r="B11" s="8" t="s">
        <v>21</v>
      </c>
      <c r="C11" s="8" t="s">
        <v>16</v>
      </c>
      <c r="D11" s="8">
        <v>300</v>
      </c>
      <c r="E11" s="8">
        <v>0.01</v>
      </c>
      <c r="F11" s="8">
        <v>3</v>
      </c>
      <c r="G11" s="8">
        <v>300</v>
      </c>
      <c r="H11" s="8">
        <v>0</v>
      </c>
      <c r="I11" s="8">
        <v>0.01</v>
      </c>
      <c r="J11" s="8">
        <v>0</v>
      </c>
      <c r="K11" s="8"/>
      <c r="L11" s="8"/>
      <c r="M11" s="8">
        <v>0</v>
      </c>
      <c r="N11">
        <f t="shared" si="0"/>
        <v>300</v>
      </c>
      <c r="O11">
        <f t="shared" si="1"/>
        <v>0</v>
      </c>
    </row>
    <row r="12" ht="20" customHeight="1" spans="1:15">
      <c r="A12" s="7" t="s">
        <v>22</v>
      </c>
      <c r="B12" s="8" t="s">
        <v>23</v>
      </c>
      <c r="C12" s="8" t="s">
        <v>16</v>
      </c>
      <c r="D12" s="8">
        <v>300</v>
      </c>
      <c r="E12" s="8">
        <v>0.01</v>
      </c>
      <c r="F12" s="8">
        <v>3</v>
      </c>
      <c r="G12" s="8">
        <v>300</v>
      </c>
      <c r="H12" s="8">
        <v>0</v>
      </c>
      <c r="I12" s="8">
        <v>0.01</v>
      </c>
      <c r="J12" s="8">
        <v>0</v>
      </c>
      <c r="K12" s="8"/>
      <c r="L12" s="8"/>
      <c r="M12" s="8">
        <v>0</v>
      </c>
      <c r="N12">
        <f t="shared" si="0"/>
        <v>300</v>
      </c>
      <c r="O12">
        <f t="shared" si="1"/>
        <v>0</v>
      </c>
    </row>
    <row r="13" ht="20" customHeight="1" spans="1:15">
      <c r="A13" s="7"/>
      <c r="B13" s="8"/>
      <c r="C13" s="8"/>
      <c r="D13" s="8"/>
      <c r="E13" s="8"/>
      <c r="F13" s="8"/>
      <c r="G13" s="8"/>
      <c r="H13" s="8"/>
      <c r="I13" s="8"/>
      <c r="J13" s="8">
        <v>4144.04</v>
      </c>
      <c r="K13" s="8"/>
      <c r="L13" s="8"/>
      <c r="M13" s="8">
        <v>0</v>
      </c>
      <c r="N13">
        <f t="shared" si="0"/>
        <v>0</v>
      </c>
      <c r="O13">
        <f t="shared" si="1"/>
        <v>0</v>
      </c>
    </row>
    <row r="14" ht="20" customHeight="1" spans="1:13">
      <c r="A14" s="8"/>
      <c r="B14" s="8"/>
      <c r="C14" s="8"/>
      <c r="D14" s="8"/>
      <c r="E14" s="8"/>
      <c r="F14" s="8"/>
      <c r="G14" s="8"/>
      <c r="H14" s="8" t="s">
        <v>24</v>
      </c>
      <c r="I14" s="9">
        <v>4144.04</v>
      </c>
      <c r="J14" s="10"/>
      <c r="K14" s="10"/>
      <c r="L14" s="10"/>
      <c r="M14" s="11"/>
    </row>
  </sheetData>
  <mergeCells count="2">
    <mergeCell ref="A1:M1"/>
    <mergeCell ref="I14:M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赤峰九州通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爱在珍伟</cp:lastModifiedBy>
  <dcterms:created xsi:type="dcterms:W3CDTF">2023-12-22T03:26:00Z</dcterms:created>
  <dcterms:modified xsi:type="dcterms:W3CDTF">2014-12-31T21:35:30Z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01FC99BFC7D146BE8FAD011338D22FB7_11</vt:lpwstr>
  </property>
  <property fmtid="{D5CDD505-2E9C-101B-9397-08002B2CF9AE}" pid="3" name="KSOProductBuildVer">
    <vt:lpwstr>2052-12.1.0.15946</vt:lpwstr>
  </property>
</Properties>
</file>