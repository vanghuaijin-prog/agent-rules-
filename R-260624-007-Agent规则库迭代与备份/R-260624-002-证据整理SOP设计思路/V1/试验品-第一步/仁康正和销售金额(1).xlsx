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仁康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<sst xmlns="http://schemas.openxmlformats.org/spreadsheetml/2006/main" count="124" uniqueCount="28">
  <si>
    <t>内蒙古仁康医药销售明细表</t>
  </si>
  <si>
    <t>品名</t>
  </si>
  <si>
    <t>规格</t>
  </si>
  <si>
    <t>单位</t>
  </si>
  <si>
    <t>数量</t>
  </si>
  <si>
    <t>单价</t>
  </si>
  <si>
    <t>金额</t>
  </si>
  <si>
    <t>退货数量</t>
  </si>
  <si>
    <t>正常价格销售数量</t>
  </si>
  <si>
    <t>销售价格</t>
  </si>
  <si>
    <t>销售金额</t>
  </si>
  <si>
    <t>冲价后销售数量</t>
  </si>
  <si>
    <t>冲价后价格</t>
  </si>
  <si>
    <t>冲价后销售金额</t>
  </si>
  <si>
    <t>通窍鼻炎片</t>
  </si>
  <si>
    <t>24片*300盒</t>
  </si>
  <si>
    <t>盒</t>
  </si>
  <si>
    <t>银杏叶片</t>
  </si>
  <si>
    <t>48粒*240盒</t>
  </si>
  <si>
    <t>血塞通分散片</t>
  </si>
  <si>
    <t>合计金额：</t>
  </si>
  <si>
    <t>内蒙古九州通医药销售明细表</t>
  </si>
  <si>
    <t>苯磺酸氨氯地平片</t>
  </si>
  <si>
    <t>5mg*10s*2板</t>
  </si>
  <si>
    <t>强力天麻杜仲胶囊</t>
  </si>
  <si>
    <r>
      <t>0.2g*10s*3</t>
    </r>
    <r>
      <rPr>
        <b/>
        <sz val="9"/>
        <color rgb="FFFF0000"/>
        <rFont val="宋体"/>
        <charset val="134"/>
      </rPr>
      <t>板</t>
    </r>
  </si>
  <si>
    <t>破损7盒</t>
  </si>
  <si>
    <t>0.2g*10s*3板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</si>
</sst>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7">
    <font>
      <sz val="11"/>
      <color theme="1"/>
      <name val="宋体"/>
      <charset val="134"/>
      <scheme val="minor"/>
    </font>
    <font>
      <b/>
      <sz val="24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9"/>
      <color rgb="FF000000"/>
      <name val="Tahoma"/>
      <charset val="134"/>
    </font>
    <font>
      <b/>
      <sz val="9"/>
      <color rgb="FFFF0000"/>
      <name val="宋体"/>
      <charset val="134"/>
    </font>
    <font>
      <b/>
      <sz val="9"/>
      <color rgb="FFFF0000"/>
      <name val="Tahoma"/>
      <charset val="134"/>
    </font>
    <font>
      <b/>
      <sz val="24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/>
      <diagonal/>
    </border>
    <border>
      <left style="thin">
        <color rgb="FFA9A9A9"/>
      </left>
      <right style="thin">
        <color rgb="FFA9A9A9"/>
      </right>
      <top/>
      <bottom style="thin">
        <color rgb="FFA9A9A9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8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11" applyNumberFormat="0" applyAlignment="0" applyProtection="0">
      <alignment vertical="center"/>
    </xf>
    <xf numFmtId="0" fontId="17" fillId="4" borderId="12" applyNumberFormat="0" applyAlignment="0" applyProtection="0">
      <alignment vertical="center"/>
    </xf>
    <xf numFmtId="0" fontId="18" fillId="4" borderId="11" applyNumberFormat="0" applyAlignment="0" applyProtection="0">
      <alignment vertical="center"/>
    </xf>
    <xf numFmtId="0" fontId="19" fillId="5" borderId="13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>
      <alignment vertical="center"/>
    </xf>
    <xf numFmtId="0" fontId="0" fillId="0" borderId="2" xfId="0" applyBorder="1" applyAlignment="1">
      <alignment horizontal="center" vertical="center"/>
    </xf>
    <xf numFmtId="176" fontId="0" fillId="0" borderId="2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2" xfId="0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76" fontId="3" fillId="0" borderId="2" xfId="0" applyNumberFormat="1" applyFont="1" applyBorder="1" applyAlignment="1">
      <alignment horizontal="center" vertical="center"/>
    </xf>
    <xf numFmtId="49" fontId="4" fillId="0" borderId="3" xfId="0" applyNumberFormat="1" applyFont="1" applyFill="1" applyBorder="1" applyAlignment="1">
      <alignment horizontal="left" vertical="center"/>
    </xf>
    <xf numFmtId="49" fontId="5" fillId="0" borderId="2" xfId="0" applyNumberFormat="1" applyFont="1" applyFill="1" applyBorder="1" applyAlignment="1">
      <alignment horizontal="left" vertical="center"/>
    </xf>
    <xf numFmtId="49" fontId="6" fillId="0" borderId="2" xfId="0" applyNumberFormat="1" applyFont="1" applyFill="1" applyBorder="1" applyAlignment="1">
      <alignment horizontal="left" vertical="center"/>
    </xf>
    <xf numFmtId="49" fontId="4" fillId="0" borderId="2" xfId="0" applyNumberFormat="1" applyFont="1" applyFill="1" applyBorder="1" applyAlignment="1">
      <alignment horizontal="left" vertical="center"/>
    </xf>
    <xf numFmtId="49" fontId="4" fillId="0" borderId="4" xfId="0" applyNumberFormat="1" applyFont="1" applyFill="1" applyBorder="1" applyAlignment="1">
      <alignment horizontal="left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3" fillId="0" borderId="0" xfId="0" applyFont="1">
      <alignment vertical="center"/>
    </xf>
    <xf numFmtId="0" fontId="7" fillId="0" borderId="7" xfId="0" applyFont="1" applyBorder="1" applyAlignment="1">
      <alignment horizontal="center" vertical="center"/>
    </xf>
    <xf numFmtId="176" fontId="0" fillId="0" borderId="2" xfId="0" applyNumberFormat="1" applyBorder="1" applyAlignment="1">
      <alignment horizontal="center" vertical="center"/>
    </xf>
    <xf numFmtId="176" fontId="0" fillId="0" borderId="5" xfId="0" applyNumberFormat="1" applyBorder="1" applyAlignment="1">
      <alignment horizontal="center" vertical="center"/>
    </xf>
    <xf numFmtId="176" fontId="0" fillId="0" borderId="6" xfId="0" applyNumberFormat="1" applyBorder="1" applyAlignment="1">
      <alignment horizontal="center" vertical="center"/>
    </xf>
    <xf numFmtId="176" fontId="0" fillId="0" borderId="7" xfId="0" applyNumberForma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2"/>
  <sheetViews>
    <sheetView tabSelected="1" topLeftCell="A16" workbookViewId="0">
      <selection activeCell="V25" sqref="V25"/>
    </sheetView>
  </sheetViews>
  <sheetFormatPr defaultColWidth="9" defaultRowHeight="13.5"/>
  <cols>
    <col min="1" max="1" width="17" customWidth="1"/>
    <col min="2" max="2" width="15.125" customWidth="1"/>
    <col min="6" max="6" width="11.625"/>
    <col min="8" max="8" width="13.125" customWidth="1"/>
    <col min="9" max="10" width="10.75" customWidth="1"/>
    <col min="11" max="11" width="12.625" customWidth="1"/>
    <col min="12" max="12" width="8.75" customWidth="1"/>
    <col min="13" max="13" width="10.25" customWidth="1"/>
  </cols>
  <sheetData>
    <row r="1" ht="45" customHeight="1" spans="1:13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="1" customFormat="1" ht="48" customHeight="1" spans="1:13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</row>
    <row r="3" ht="20" customHeight="1" spans="1:13">
      <c r="A3" s="5" t="s">
        <v>14</v>
      </c>
      <c r="B3" s="5" t="s">
        <v>15</v>
      </c>
      <c r="C3" s="6" t="s">
        <v>16</v>
      </c>
      <c r="D3" s="6">
        <v>1500</v>
      </c>
      <c r="E3" s="7">
        <v>5.8</v>
      </c>
      <c r="F3" s="7">
        <f t="shared" ref="F3:F8" si="0">D3*E3</f>
        <v>8700</v>
      </c>
      <c r="G3" s="6">
        <v>642</v>
      </c>
      <c r="H3" s="6">
        <f>D3-G3-K3</f>
        <v>745</v>
      </c>
      <c r="I3" s="7">
        <v>5.8</v>
      </c>
      <c r="J3" s="7">
        <f>H3*I3</f>
        <v>4321</v>
      </c>
      <c r="K3" s="6">
        <v>113</v>
      </c>
      <c r="L3" s="7">
        <v>2.4</v>
      </c>
      <c r="M3" s="7">
        <f>K3*L3</f>
        <v>271.2</v>
      </c>
    </row>
    <row r="4" ht="20" customHeight="1" spans="1:13">
      <c r="A4" s="5" t="s">
        <v>17</v>
      </c>
      <c r="B4" s="5" t="s">
        <v>18</v>
      </c>
      <c r="C4" s="6" t="s">
        <v>16</v>
      </c>
      <c r="D4" s="6">
        <v>1200</v>
      </c>
      <c r="E4" s="7">
        <v>11</v>
      </c>
      <c r="F4" s="7">
        <f t="shared" si="0"/>
        <v>13200</v>
      </c>
      <c r="G4" s="6">
        <v>235</v>
      </c>
      <c r="H4" s="6">
        <f t="shared" ref="H4:H14" si="1">D4-G4-K4</f>
        <v>872</v>
      </c>
      <c r="I4" s="7">
        <v>11</v>
      </c>
      <c r="J4" s="7">
        <f t="shared" ref="J4:J12" si="2">H4*I4</f>
        <v>9592</v>
      </c>
      <c r="K4" s="6">
        <v>93</v>
      </c>
      <c r="L4" s="7">
        <v>6</v>
      </c>
      <c r="M4" s="7">
        <f t="shared" ref="M4:M12" si="3">K4*L4</f>
        <v>558</v>
      </c>
    </row>
    <row r="5" ht="20" customHeight="1" spans="1:13">
      <c r="A5" s="5" t="s">
        <v>19</v>
      </c>
      <c r="B5" s="5" t="s">
        <v>15</v>
      </c>
      <c r="C5" s="6" t="s">
        <v>16</v>
      </c>
      <c r="D5" s="6">
        <v>1400</v>
      </c>
      <c r="E5" s="7">
        <v>11</v>
      </c>
      <c r="F5" s="7">
        <f t="shared" si="0"/>
        <v>15400</v>
      </c>
      <c r="G5" s="6">
        <v>762</v>
      </c>
      <c r="H5" s="6">
        <f t="shared" si="1"/>
        <v>500</v>
      </c>
      <c r="I5" s="7">
        <v>11</v>
      </c>
      <c r="J5" s="7">
        <f t="shared" si="2"/>
        <v>5500</v>
      </c>
      <c r="K5" s="6">
        <v>138</v>
      </c>
      <c r="L5" s="7">
        <v>6.8</v>
      </c>
      <c r="M5" s="7">
        <f t="shared" si="3"/>
        <v>938.4</v>
      </c>
    </row>
    <row r="6" ht="20" customHeight="1" spans="1:13">
      <c r="A6" s="5" t="s">
        <v>14</v>
      </c>
      <c r="B6" s="5" t="s">
        <v>15</v>
      </c>
      <c r="C6" s="6" t="s">
        <v>16</v>
      </c>
      <c r="D6" s="6">
        <v>300</v>
      </c>
      <c r="E6" s="7">
        <v>0.01</v>
      </c>
      <c r="F6" s="7">
        <f t="shared" si="0"/>
        <v>3</v>
      </c>
      <c r="G6" s="6">
        <v>129</v>
      </c>
      <c r="H6" s="6">
        <f t="shared" si="1"/>
        <v>171</v>
      </c>
      <c r="I6" s="7">
        <v>0.01</v>
      </c>
      <c r="J6" s="7">
        <f t="shared" si="2"/>
        <v>1.71</v>
      </c>
      <c r="K6" s="6"/>
      <c r="L6" s="7"/>
      <c r="M6" s="7">
        <f t="shared" si="3"/>
        <v>0</v>
      </c>
    </row>
    <row r="7" ht="20" customHeight="1" spans="1:13">
      <c r="A7" s="5" t="s">
        <v>17</v>
      </c>
      <c r="B7" s="5" t="s">
        <v>18</v>
      </c>
      <c r="C7" s="6" t="s">
        <v>16</v>
      </c>
      <c r="D7" s="6">
        <v>240</v>
      </c>
      <c r="E7" s="7">
        <v>0.01</v>
      </c>
      <c r="F7" s="7">
        <f t="shared" si="0"/>
        <v>2.4</v>
      </c>
      <c r="G7" s="6">
        <v>29</v>
      </c>
      <c r="H7" s="6">
        <f t="shared" si="1"/>
        <v>211</v>
      </c>
      <c r="I7" s="7">
        <v>0.01</v>
      </c>
      <c r="J7" s="7">
        <f t="shared" si="2"/>
        <v>2.11</v>
      </c>
      <c r="K7" s="6"/>
      <c r="L7" s="7"/>
      <c r="M7" s="7">
        <f t="shared" si="3"/>
        <v>0</v>
      </c>
    </row>
    <row r="8" ht="20" customHeight="1" spans="1:13">
      <c r="A8" s="5" t="s">
        <v>19</v>
      </c>
      <c r="B8" s="5" t="s">
        <v>15</v>
      </c>
      <c r="C8" s="6" t="s">
        <v>16</v>
      </c>
      <c r="D8" s="6">
        <v>280</v>
      </c>
      <c r="E8" s="7">
        <v>0.01</v>
      </c>
      <c r="F8" s="7">
        <f t="shared" si="0"/>
        <v>2.8</v>
      </c>
      <c r="G8" s="6">
        <v>153</v>
      </c>
      <c r="H8" s="6">
        <f t="shared" si="1"/>
        <v>127</v>
      </c>
      <c r="I8" s="7">
        <v>0.01</v>
      </c>
      <c r="J8" s="7">
        <f t="shared" si="2"/>
        <v>1.27</v>
      </c>
      <c r="K8" s="6"/>
      <c r="L8" s="7"/>
      <c r="M8" s="7">
        <f t="shared" si="3"/>
        <v>0</v>
      </c>
    </row>
    <row r="9" ht="20" customHeight="1" spans="1:13">
      <c r="A9" s="5"/>
      <c r="B9" s="5"/>
      <c r="C9" s="5"/>
      <c r="D9" s="5"/>
      <c r="E9" s="5"/>
      <c r="F9" s="6"/>
      <c r="G9" s="6"/>
      <c r="H9" s="6"/>
      <c r="I9" s="7"/>
      <c r="J9" s="7">
        <f>SUM(J3:J8)</f>
        <v>19418.09</v>
      </c>
      <c r="K9" s="6"/>
      <c r="L9" s="7"/>
      <c r="M9" s="7">
        <f>SUM(M3:M8)</f>
        <v>1767.6</v>
      </c>
    </row>
    <row r="10" ht="20" customHeight="1" spans="1:13">
      <c r="A10" s="5"/>
      <c r="B10" s="5"/>
      <c r="C10" s="5"/>
      <c r="D10" s="5"/>
      <c r="E10" s="5"/>
      <c r="F10" s="6"/>
      <c r="G10" s="6"/>
      <c r="H10" s="6" t="s">
        <v>20</v>
      </c>
      <c r="I10" s="24">
        <f>J9+M9</f>
        <v>21185.69</v>
      </c>
      <c r="J10" s="25"/>
      <c r="K10" s="25"/>
      <c r="L10" s="25"/>
      <c r="M10" s="26"/>
    </row>
    <row r="11" ht="48" customHeight="1"/>
    <row r="12" ht="41" customHeight="1" spans="1:13">
      <c r="A12" s="3" t="s">
        <v>21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</row>
    <row r="13" ht="37" customHeight="1" spans="1:13">
      <c r="A13" s="4" t="s">
        <v>1</v>
      </c>
      <c r="B13" s="4" t="s">
        <v>2</v>
      </c>
      <c r="C13" s="4" t="s">
        <v>3</v>
      </c>
      <c r="D13" s="4" t="s">
        <v>4</v>
      </c>
      <c r="E13" s="4" t="s">
        <v>5</v>
      </c>
      <c r="F13" s="4" t="s">
        <v>6</v>
      </c>
      <c r="G13" s="4" t="s">
        <v>7</v>
      </c>
      <c r="H13" s="4" t="s">
        <v>8</v>
      </c>
      <c r="I13" s="4" t="s">
        <v>9</v>
      </c>
      <c r="J13" s="4" t="s">
        <v>10</v>
      </c>
      <c r="K13" s="4" t="s">
        <v>11</v>
      </c>
      <c r="L13" s="4" t="s">
        <v>12</v>
      </c>
      <c r="M13" s="4" t="s">
        <v>13</v>
      </c>
    </row>
    <row r="14" ht="20" customHeight="1" spans="1:15">
      <c r="A14" s="5" t="s">
        <v>14</v>
      </c>
      <c r="B14" s="5" t="s">
        <v>15</v>
      </c>
      <c r="C14" s="6" t="s">
        <v>16</v>
      </c>
      <c r="D14" s="6">
        <v>1500</v>
      </c>
      <c r="E14" s="7">
        <v>5.8</v>
      </c>
      <c r="F14" s="7">
        <f t="shared" ref="F14:F23" si="4">D14*E14</f>
        <v>8700</v>
      </c>
      <c r="G14" s="6">
        <v>930</v>
      </c>
      <c r="H14" s="6">
        <v>550</v>
      </c>
      <c r="I14" s="7">
        <v>5.8</v>
      </c>
      <c r="J14" s="7">
        <f>H14*I14</f>
        <v>3190</v>
      </c>
      <c r="K14" s="6">
        <v>20</v>
      </c>
      <c r="L14" s="7">
        <v>2.4</v>
      </c>
      <c r="M14" s="7">
        <f>K14*L14</f>
        <v>48</v>
      </c>
      <c r="N14">
        <f>G14+H14+K14</f>
        <v>1500</v>
      </c>
      <c r="O14">
        <f>D14-N14</f>
        <v>0</v>
      </c>
    </row>
    <row r="15" ht="20" customHeight="1" spans="1:15">
      <c r="A15" s="9" t="s">
        <v>17</v>
      </c>
      <c r="B15" s="9" t="s">
        <v>18</v>
      </c>
      <c r="C15" s="10" t="s">
        <v>16</v>
      </c>
      <c r="D15" s="11">
        <v>1200</v>
      </c>
      <c r="E15" s="12">
        <v>11</v>
      </c>
      <c r="F15" s="12">
        <f t="shared" si="4"/>
        <v>13200</v>
      </c>
      <c r="G15" s="11">
        <v>849</v>
      </c>
      <c r="H15" s="11">
        <v>335</v>
      </c>
      <c r="I15" s="12">
        <v>11</v>
      </c>
      <c r="J15" s="12">
        <f t="shared" ref="J15:J23" si="5">H15*I15</f>
        <v>3685</v>
      </c>
      <c r="K15" s="11">
        <v>16</v>
      </c>
      <c r="L15" s="12">
        <v>6</v>
      </c>
      <c r="M15" s="12">
        <f t="shared" ref="M15:M23" si="6">K15*L15</f>
        <v>96</v>
      </c>
      <c r="N15" s="27">
        <f t="shared" ref="N15:N24" si="7">G15+H15+K15</f>
        <v>1200</v>
      </c>
      <c r="O15" s="27">
        <f t="shared" ref="O15:O24" si="8">D15-N15</f>
        <v>0</v>
      </c>
    </row>
    <row r="16" ht="20" customHeight="1" spans="1:15">
      <c r="A16" s="5" t="s">
        <v>19</v>
      </c>
      <c r="B16" s="5" t="s">
        <v>15</v>
      </c>
      <c r="C16" s="6" t="s">
        <v>16</v>
      </c>
      <c r="D16" s="6">
        <v>1400</v>
      </c>
      <c r="E16" s="7">
        <v>11</v>
      </c>
      <c r="F16" s="7">
        <f t="shared" si="4"/>
        <v>15400</v>
      </c>
      <c r="G16" s="6">
        <v>1080</v>
      </c>
      <c r="H16" s="6">
        <v>290</v>
      </c>
      <c r="I16" s="7">
        <v>11</v>
      </c>
      <c r="J16" s="7">
        <f t="shared" si="5"/>
        <v>3190</v>
      </c>
      <c r="K16" s="6">
        <v>30</v>
      </c>
      <c r="L16" s="7">
        <v>6.8</v>
      </c>
      <c r="M16" s="7">
        <f t="shared" si="6"/>
        <v>204</v>
      </c>
      <c r="N16">
        <f t="shared" si="7"/>
        <v>1400</v>
      </c>
      <c r="O16">
        <f t="shared" si="8"/>
        <v>0</v>
      </c>
    </row>
    <row r="17" ht="20" customHeight="1" spans="1:15">
      <c r="A17" s="13" t="s">
        <v>22</v>
      </c>
      <c r="B17" s="13" t="s">
        <v>23</v>
      </c>
      <c r="C17" s="6" t="s">
        <v>16</v>
      </c>
      <c r="D17" s="6">
        <v>1500</v>
      </c>
      <c r="E17" s="7">
        <v>7.8</v>
      </c>
      <c r="F17" s="7">
        <f t="shared" si="4"/>
        <v>11700</v>
      </c>
      <c r="G17" s="6">
        <v>1195</v>
      </c>
      <c r="H17" s="6">
        <v>305</v>
      </c>
      <c r="I17" s="7">
        <v>7.8</v>
      </c>
      <c r="J17" s="7">
        <f t="shared" si="5"/>
        <v>2379</v>
      </c>
      <c r="K17" s="6">
        <v>0</v>
      </c>
      <c r="L17" s="7">
        <v>3.2</v>
      </c>
      <c r="M17" s="7">
        <f t="shared" si="6"/>
        <v>0</v>
      </c>
      <c r="N17">
        <f t="shared" si="7"/>
        <v>1500</v>
      </c>
      <c r="O17">
        <f t="shared" si="8"/>
        <v>0</v>
      </c>
    </row>
    <row r="18" ht="20" customHeight="1" spans="1:16">
      <c r="A18" s="14" t="s">
        <v>24</v>
      </c>
      <c r="B18" s="15" t="s">
        <v>25</v>
      </c>
      <c r="C18" s="10" t="s">
        <v>16</v>
      </c>
      <c r="D18" s="11">
        <v>1500</v>
      </c>
      <c r="E18" s="12">
        <v>8.4</v>
      </c>
      <c r="F18" s="12">
        <f t="shared" si="4"/>
        <v>12600</v>
      </c>
      <c r="G18" s="11">
        <v>1372</v>
      </c>
      <c r="H18" s="11">
        <v>116</v>
      </c>
      <c r="I18" s="12">
        <v>8.4</v>
      </c>
      <c r="J18" s="12">
        <f t="shared" si="5"/>
        <v>974.4</v>
      </c>
      <c r="K18" s="11">
        <v>5</v>
      </c>
      <c r="L18" s="12">
        <v>5</v>
      </c>
      <c r="M18" s="12">
        <f t="shared" si="6"/>
        <v>25</v>
      </c>
      <c r="N18" s="27">
        <f t="shared" si="7"/>
        <v>1493</v>
      </c>
      <c r="O18" s="27">
        <f t="shared" si="8"/>
        <v>7</v>
      </c>
      <c r="P18" t="s">
        <v>26</v>
      </c>
    </row>
    <row r="19" ht="20" customHeight="1" spans="1:15">
      <c r="A19" s="5" t="s">
        <v>14</v>
      </c>
      <c r="B19" s="5" t="s">
        <v>15</v>
      </c>
      <c r="C19" s="6" t="s">
        <v>16</v>
      </c>
      <c r="D19" s="6">
        <v>300</v>
      </c>
      <c r="E19" s="7">
        <v>0.01</v>
      </c>
      <c r="F19" s="7">
        <f t="shared" si="4"/>
        <v>3</v>
      </c>
      <c r="G19" s="6">
        <v>190</v>
      </c>
      <c r="H19" s="6">
        <v>110</v>
      </c>
      <c r="I19" s="7">
        <v>0.01</v>
      </c>
      <c r="J19" s="7">
        <f t="shared" si="5"/>
        <v>1.1</v>
      </c>
      <c r="K19" s="6"/>
      <c r="L19" s="7"/>
      <c r="M19" s="7">
        <f t="shared" si="6"/>
        <v>0</v>
      </c>
      <c r="N19">
        <f t="shared" si="7"/>
        <v>300</v>
      </c>
      <c r="O19">
        <f t="shared" si="8"/>
        <v>0</v>
      </c>
    </row>
    <row r="20" ht="20" customHeight="1" spans="1:15">
      <c r="A20" s="5" t="s">
        <v>17</v>
      </c>
      <c r="B20" s="5" t="s">
        <v>18</v>
      </c>
      <c r="C20" s="6" t="s">
        <v>16</v>
      </c>
      <c r="D20" s="6">
        <v>240</v>
      </c>
      <c r="E20" s="7">
        <v>0.01</v>
      </c>
      <c r="F20" s="7">
        <f t="shared" si="4"/>
        <v>2.4</v>
      </c>
      <c r="G20" s="6">
        <v>183</v>
      </c>
      <c r="H20" s="6">
        <v>57</v>
      </c>
      <c r="I20" s="7">
        <v>0.01</v>
      </c>
      <c r="J20" s="7">
        <f t="shared" si="5"/>
        <v>0.57</v>
      </c>
      <c r="K20" s="6"/>
      <c r="L20" s="7"/>
      <c r="M20" s="7">
        <f t="shared" si="6"/>
        <v>0</v>
      </c>
      <c r="N20">
        <f t="shared" si="7"/>
        <v>240</v>
      </c>
      <c r="O20">
        <f t="shared" si="8"/>
        <v>0</v>
      </c>
    </row>
    <row r="21" ht="20" customHeight="1" spans="1:15">
      <c r="A21" s="9" t="s">
        <v>19</v>
      </c>
      <c r="B21" s="9" t="s">
        <v>15</v>
      </c>
      <c r="C21" s="10" t="s">
        <v>16</v>
      </c>
      <c r="D21" s="11">
        <v>280</v>
      </c>
      <c r="E21" s="12">
        <v>0.01</v>
      </c>
      <c r="F21" s="12">
        <f t="shared" si="4"/>
        <v>2.8</v>
      </c>
      <c r="G21" s="11">
        <v>212</v>
      </c>
      <c r="H21" s="11">
        <v>58</v>
      </c>
      <c r="I21" s="12">
        <v>0.01</v>
      </c>
      <c r="J21" s="12">
        <f t="shared" si="5"/>
        <v>0.58</v>
      </c>
      <c r="K21" s="11">
        <v>10</v>
      </c>
      <c r="L21" s="12"/>
      <c r="M21" s="12">
        <f t="shared" si="6"/>
        <v>0</v>
      </c>
      <c r="N21" s="27">
        <f t="shared" si="7"/>
        <v>280</v>
      </c>
      <c r="O21" s="27">
        <f t="shared" si="8"/>
        <v>0</v>
      </c>
    </row>
    <row r="22" ht="20" customHeight="1" spans="1:15">
      <c r="A22" s="16" t="s">
        <v>22</v>
      </c>
      <c r="B22" s="16" t="s">
        <v>23</v>
      </c>
      <c r="C22" s="6" t="s">
        <v>16</v>
      </c>
      <c r="D22" s="6">
        <v>300</v>
      </c>
      <c r="E22" s="7">
        <v>0.01</v>
      </c>
      <c r="F22" s="7">
        <f t="shared" si="4"/>
        <v>3</v>
      </c>
      <c r="G22" s="6">
        <v>247</v>
      </c>
      <c r="H22" s="6">
        <v>53</v>
      </c>
      <c r="I22" s="7">
        <v>0.01</v>
      </c>
      <c r="J22" s="7">
        <f t="shared" si="5"/>
        <v>0.53</v>
      </c>
      <c r="K22" s="6"/>
      <c r="L22" s="7"/>
      <c r="M22" s="7">
        <f t="shared" si="6"/>
        <v>0</v>
      </c>
      <c r="N22">
        <f t="shared" si="7"/>
        <v>300</v>
      </c>
      <c r="O22">
        <f t="shared" si="8"/>
        <v>0</v>
      </c>
    </row>
    <row r="23" ht="20" customHeight="1" spans="1:15">
      <c r="A23" s="17" t="s">
        <v>24</v>
      </c>
      <c r="B23" s="17" t="s">
        <v>27</v>
      </c>
      <c r="C23" s="6" t="s">
        <v>16</v>
      </c>
      <c r="D23" s="6">
        <v>300</v>
      </c>
      <c r="E23" s="7">
        <v>0.01</v>
      </c>
      <c r="F23" s="7">
        <f t="shared" si="4"/>
        <v>3</v>
      </c>
      <c r="G23" s="6">
        <v>294</v>
      </c>
      <c r="H23" s="6">
        <v>6</v>
      </c>
      <c r="I23" s="7">
        <v>0.01</v>
      </c>
      <c r="J23" s="7">
        <f t="shared" si="5"/>
        <v>0.06</v>
      </c>
      <c r="K23" s="6"/>
      <c r="L23" s="7"/>
      <c r="M23" s="7">
        <f t="shared" si="6"/>
        <v>0</v>
      </c>
      <c r="N23">
        <f t="shared" si="7"/>
        <v>300</v>
      </c>
      <c r="O23">
        <f t="shared" si="8"/>
        <v>0</v>
      </c>
    </row>
    <row r="24" ht="20" customHeight="1" spans="1:15">
      <c r="A24" s="5"/>
      <c r="B24" s="5"/>
      <c r="C24" s="5"/>
      <c r="D24" s="5"/>
      <c r="E24" s="5"/>
      <c r="F24" s="6"/>
      <c r="G24" s="6"/>
      <c r="H24" s="6"/>
      <c r="I24" s="7"/>
      <c r="J24" s="7">
        <f>SUM(J14:J23)</f>
        <v>13421.24</v>
      </c>
      <c r="K24" s="6"/>
      <c r="L24" s="7"/>
      <c r="M24" s="7">
        <f>SUM(M14:M23)</f>
        <v>373</v>
      </c>
      <c r="N24">
        <f>G24+H24+K24</f>
        <v>0</v>
      </c>
      <c r="O24">
        <f t="shared" si="8"/>
        <v>0</v>
      </c>
    </row>
    <row r="25" ht="20" customHeight="1" spans="1:13">
      <c r="A25" s="5"/>
      <c r="B25" s="5"/>
      <c r="C25" s="5"/>
      <c r="D25" s="5"/>
      <c r="E25" s="5"/>
      <c r="F25" s="6"/>
      <c r="G25" s="6"/>
      <c r="H25" s="6" t="s">
        <v>20</v>
      </c>
      <c r="I25" s="24">
        <f>J24+M24</f>
        <v>13794.24</v>
      </c>
      <c r="J25" s="25"/>
      <c r="K25" s="25"/>
      <c r="L25" s="25"/>
      <c r="M25" s="26"/>
    </row>
    <row r="29" ht="43" customHeight="1" spans="1:13">
      <c r="A29" s="18" t="s">
        <v>21</v>
      </c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28"/>
    </row>
    <row r="30" ht="43" customHeight="1" spans="1:13">
      <c r="A30" s="20" t="s">
        <v>1</v>
      </c>
      <c r="B30" s="20" t="s">
        <v>2</v>
      </c>
      <c r="C30" s="20" t="s">
        <v>3</v>
      </c>
      <c r="D30" s="20" t="s">
        <v>4</v>
      </c>
      <c r="E30" s="20" t="s">
        <v>5</v>
      </c>
      <c r="F30" s="20" t="s">
        <v>6</v>
      </c>
      <c r="G30" s="20" t="s">
        <v>7</v>
      </c>
      <c r="H30" s="21" t="s">
        <v>8</v>
      </c>
      <c r="I30" s="20" t="s">
        <v>9</v>
      </c>
      <c r="J30" s="20" t="s">
        <v>10</v>
      </c>
      <c r="K30" s="21" t="s">
        <v>11</v>
      </c>
      <c r="L30" s="21" t="s">
        <v>12</v>
      </c>
      <c r="M30" s="21" t="s">
        <v>13</v>
      </c>
    </row>
    <row r="31" ht="20" customHeight="1" spans="1:13">
      <c r="A31" s="22" t="s">
        <v>14</v>
      </c>
      <c r="B31" s="22" t="s">
        <v>15</v>
      </c>
      <c r="C31" s="23" t="s">
        <v>16</v>
      </c>
      <c r="D31" s="23">
        <v>1500</v>
      </c>
      <c r="E31" s="23">
        <v>5.8</v>
      </c>
      <c r="F31" s="23">
        <v>8700</v>
      </c>
      <c r="G31" s="23">
        <v>1301</v>
      </c>
      <c r="H31" s="23">
        <v>199</v>
      </c>
      <c r="I31" s="23">
        <v>5.8</v>
      </c>
      <c r="J31" s="29">
        <f>H31*I31</f>
        <v>1154.2</v>
      </c>
      <c r="K31" s="23"/>
      <c r="L31" s="23">
        <v>2.4</v>
      </c>
      <c r="M31" s="29">
        <f>K31*L31</f>
        <v>0</v>
      </c>
    </row>
    <row r="32" ht="20" customHeight="1" spans="1:13">
      <c r="A32" s="22" t="s">
        <v>17</v>
      </c>
      <c r="B32" s="22" t="s">
        <v>18</v>
      </c>
      <c r="C32" s="23" t="s">
        <v>16</v>
      </c>
      <c r="D32" s="23">
        <v>1200</v>
      </c>
      <c r="E32" s="23">
        <v>11</v>
      </c>
      <c r="F32" s="23">
        <v>13200</v>
      </c>
      <c r="G32" s="23">
        <v>1025</v>
      </c>
      <c r="H32" s="23">
        <v>175</v>
      </c>
      <c r="I32" s="23">
        <v>11</v>
      </c>
      <c r="J32" s="29">
        <f t="shared" ref="J32:J40" si="9">H32*I32</f>
        <v>1925</v>
      </c>
      <c r="K32" s="23"/>
      <c r="L32" s="23">
        <v>6</v>
      </c>
      <c r="M32" s="29">
        <f t="shared" ref="M32:M40" si="10">K32*L32</f>
        <v>0</v>
      </c>
    </row>
    <row r="33" ht="20" customHeight="1" spans="1:13">
      <c r="A33" s="22" t="s">
        <v>19</v>
      </c>
      <c r="B33" s="22" t="s">
        <v>15</v>
      </c>
      <c r="C33" s="23" t="s">
        <v>16</v>
      </c>
      <c r="D33" s="23">
        <v>1400</v>
      </c>
      <c r="E33" s="23">
        <v>11</v>
      </c>
      <c r="F33" s="23">
        <v>15400</v>
      </c>
      <c r="G33" s="23">
        <v>1330</v>
      </c>
      <c r="H33" s="23">
        <v>70</v>
      </c>
      <c r="I33" s="23">
        <v>11</v>
      </c>
      <c r="J33" s="29">
        <f t="shared" si="9"/>
        <v>770</v>
      </c>
      <c r="K33" s="23"/>
      <c r="L33" s="23">
        <v>6.8</v>
      </c>
      <c r="M33" s="29">
        <f t="shared" si="10"/>
        <v>0</v>
      </c>
    </row>
    <row r="34" ht="20" customHeight="1" spans="1:13">
      <c r="A34" s="22" t="s">
        <v>22</v>
      </c>
      <c r="B34" s="22" t="s">
        <v>23</v>
      </c>
      <c r="C34" s="23" t="s">
        <v>16</v>
      </c>
      <c r="D34" s="23">
        <v>1500</v>
      </c>
      <c r="E34" s="23">
        <v>7.8</v>
      </c>
      <c r="F34" s="23">
        <v>11700</v>
      </c>
      <c r="G34" s="23">
        <v>1500</v>
      </c>
      <c r="H34" s="23">
        <v>0</v>
      </c>
      <c r="I34" s="23">
        <v>7.8</v>
      </c>
      <c r="J34" s="29">
        <f t="shared" si="9"/>
        <v>0</v>
      </c>
      <c r="K34" s="23"/>
      <c r="L34" s="23">
        <v>3.2</v>
      </c>
      <c r="M34" s="29">
        <f t="shared" si="10"/>
        <v>0</v>
      </c>
    </row>
    <row r="35" ht="20" customHeight="1" spans="1:13">
      <c r="A35" s="22" t="s">
        <v>24</v>
      </c>
      <c r="B35" s="22" t="s">
        <v>27</v>
      </c>
      <c r="C35" s="23" t="s">
        <v>16</v>
      </c>
      <c r="D35" s="23">
        <v>1500</v>
      </c>
      <c r="E35" s="23">
        <v>8.4</v>
      </c>
      <c r="F35" s="23">
        <v>12600</v>
      </c>
      <c r="G35" s="23">
        <v>1465</v>
      </c>
      <c r="H35" s="23">
        <v>35</v>
      </c>
      <c r="I35" s="23">
        <v>8.4</v>
      </c>
      <c r="J35" s="29">
        <f t="shared" si="9"/>
        <v>294</v>
      </c>
      <c r="K35" s="23"/>
      <c r="L35" s="23">
        <v>5</v>
      </c>
      <c r="M35" s="29">
        <f t="shared" si="10"/>
        <v>0</v>
      </c>
    </row>
    <row r="36" ht="20" customHeight="1" spans="1:13">
      <c r="A36" s="22" t="s">
        <v>14</v>
      </c>
      <c r="B36" s="22" t="s">
        <v>15</v>
      </c>
      <c r="C36" s="23" t="s">
        <v>16</v>
      </c>
      <c r="D36" s="23">
        <v>300</v>
      </c>
      <c r="E36" s="23">
        <v>0.01</v>
      </c>
      <c r="F36" s="23">
        <v>3</v>
      </c>
      <c r="G36" s="23">
        <v>262</v>
      </c>
      <c r="H36" s="23">
        <v>38</v>
      </c>
      <c r="I36" s="23">
        <v>0.01</v>
      </c>
      <c r="J36" s="29">
        <f t="shared" si="9"/>
        <v>0.38</v>
      </c>
      <c r="K36" s="23"/>
      <c r="L36" s="23"/>
      <c r="M36" s="29">
        <f t="shared" si="10"/>
        <v>0</v>
      </c>
    </row>
    <row r="37" ht="20" customHeight="1" spans="1:13">
      <c r="A37" s="22" t="s">
        <v>17</v>
      </c>
      <c r="B37" s="22" t="s">
        <v>18</v>
      </c>
      <c r="C37" s="23" t="s">
        <v>16</v>
      </c>
      <c r="D37" s="23">
        <v>240</v>
      </c>
      <c r="E37" s="23">
        <v>0.01</v>
      </c>
      <c r="F37" s="23">
        <v>2.4</v>
      </c>
      <c r="G37" s="23">
        <v>206</v>
      </c>
      <c r="H37" s="23">
        <v>34</v>
      </c>
      <c r="I37" s="23">
        <v>0.01</v>
      </c>
      <c r="J37" s="29">
        <f t="shared" si="9"/>
        <v>0.34</v>
      </c>
      <c r="K37" s="23"/>
      <c r="L37" s="23"/>
      <c r="M37" s="29">
        <f t="shared" si="10"/>
        <v>0</v>
      </c>
    </row>
    <row r="38" ht="20" customHeight="1" spans="1:13">
      <c r="A38" s="22" t="s">
        <v>19</v>
      </c>
      <c r="B38" s="22" t="s">
        <v>15</v>
      </c>
      <c r="C38" s="23" t="s">
        <v>16</v>
      </c>
      <c r="D38" s="23">
        <v>280</v>
      </c>
      <c r="E38" s="23">
        <v>0.01</v>
      </c>
      <c r="F38" s="23">
        <v>2.8</v>
      </c>
      <c r="G38" s="23">
        <v>268</v>
      </c>
      <c r="H38" s="23">
        <v>12</v>
      </c>
      <c r="I38" s="23">
        <v>0.01</v>
      </c>
      <c r="J38" s="29">
        <f t="shared" si="9"/>
        <v>0.12</v>
      </c>
      <c r="K38" s="23"/>
      <c r="L38" s="23"/>
      <c r="M38" s="29">
        <f t="shared" si="10"/>
        <v>0</v>
      </c>
    </row>
    <row r="39" ht="20" customHeight="1" spans="1:13">
      <c r="A39" s="22" t="s">
        <v>22</v>
      </c>
      <c r="B39" s="22" t="s">
        <v>23</v>
      </c>
      <c r="C39" s="23" t="s">
        <v>16</v>
      </c>
      <c r="D39" s="23">
        <v>300</v>
      </c>
      <c r="E39" s="23">
        <v>0.01</v>
      </c>
      <c r="F39" s="23">
        <v>3</v>
      </c>
      <c r="G39" s="23">
        <v>300</v>
      </c>
      <c r="H39" s="23">
        <v>0</v>
      </c>
      <c r="I39" s="23">
        <v>0.01</v>
      </c>
      <c r="J39" s="29">
        <f t="shared" si="9"/>
        <v>0</v>
      </c>
      <c r="K39" s="23"/>
      <c r="L39" s="23"/>
      <c r="M39" s="29">
        <f t="shared" si="10"/>
        <v>0</v>
      </c>
    </row>
    <row r="40" ht="20" customHeight="1" spans="1:13">
      <c r="A40" s="22" t="s">
        <v>24</v>
      </c>
      <c r="B40" s="22" t="s">
        <v>27</v>
      </c>
      <c r="C40" s="23" t="s">
        <v>16</v>
      </c>
      <c r="D40" s="23">
        <v>300</v>
      </c>
      <c r="E40" s="23">
        <v>0.01</v>
      </c>
      <c r="F40" s="23">
        <v>3</v>
      </c>
      <c r="G40" s="23">
        <v>300</v>
      </c>
      <c r="H40" s="23">
        <v>0</v>
      </c>
      <c r="I40" s="23">
        <v>0.01</v>
      </c>
      <c r="J40" s="29">
        <f t="shared" si="9"/>
        <v>0</v>
      </c>
      <c r="K40" s="23"/>
      <c r="L40" s="23"/>
      <c r="M40" s="29">
        <f t="shared" si="10"/>
        <v>0</v>
      </c>
    </row>
    <row r="41" ht="20" customHeight="1" spans="1:13">
      <c r="A41" s="22"/>
      <c r="B41" s="22"/>
      <c r="C41" s="23"/>
      <c r="D41" s="23"/>
      <c r="E41" s="23"/>
      <c r="F41" s="23"/>
      <c r="G41" s="23"/>
      <c r="H41" s="23"/>
      <c r="I41" s="23"/>
      <c r="J41" s="29">
        <f>SUM(J31:J40)</f>
        <v>4144.04</v>
      </c>
      <c r="K41" s="23"/>
      <c r="L41" s="23"/>
      <c r="M41" s="29">
        <f>SUM(M31:M40)</f>
        <v>0</v>
      </c>
    </row>
    <row r="42" ht="20" customHeight="1" spans="1:13">
      <c r="A42" s="22"/>
      <c r="B42" s="22"/>
      <c r="C42" s="22"/>
      <c r="D42" s="22"/>
      <c r="E42" s="22"/>
      <c r="F42" s="22"/>
      <c r="G42" s="22"/>
      <c r="H42" s="22" t="s">
        <v>20</v>
      </c>
      <c r="I42" s="30">
        <f>J41+M41</f>
        <v>4144.04</v>
      </c>
      <c r="J42" s="31"/>
      <c r="K42" s="31"/>
      <c r="L42" s="31"/>
      <c r="M42" s="32"/>
    </row>
  </sheetData>
  <mergeCells count="6">
    <mergeCell ref="A1:M1"/>
    <mergeCell ref="I10:M10"/>
    <mergeCell ref="A12:M12"/>
    <mergeCell ref="I25:M25"/>
    <mergeCell ref="A29:M29"/>
    <mergeCell ref="I42:M4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仁康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爱在珍伟</cp:lastModifiedBy>
  <dcterms:created xsi:type="dcterms:W3CDTF">2023-07-26T07:49:00Z</dcterms:created>
  <dcterms:modified xsi:type="dcterms:W3CDTF">2023-12-22T04:06:32Z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CA27DEF978E5483E851DEBC4F863957C_13</vt:lpwstr>
  </property>
  <property fmtid="{D5CDD505-2E9C-101B-9397-08002B2CF9AE}" pid="3" name="KSOProductBuildVer">
    <vt:lpwstr>2052-12.1.0.15946</vt:lpwstr>
  </property>
  <property fmtid="{D5CDD505-2E9C-101B-9397-08002B2CF9AE}" pid="4" name="KSOReadingLayout">
    <vt:bool>true</vt:bool>
  </property>
</Properties>
</file>